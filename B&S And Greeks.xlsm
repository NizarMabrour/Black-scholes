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ink/ink3.xml" ContentType="application/inkml+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0" codeName="{B1BEFC71-4687-E4F5-767E-874F2C426654}"/>
  <workbookPr filterPrivacy="1" codeName="ThisWorkbook" defaultThemeVersion="124226"/>
  <xr:revisionPtr revIDLastSave="0" documentId="13_ncr:1_{3BC5F42B-4DC9-D74A-8753-D90A091E369C}" xr6:coauthVersionLast="45" xr6:coauthVersionMax="45" xr10:uidLastSave="{00000000-0000-0000-0000-000000000000}"/>
  <bookViews>
    <workbookView xWindow="0" yWindow="460" windowWidth="28800" windowHeight="17540" xr2:uid="{00000000-000D-0000-FFFF-FFFF00000000}"/>
  </bookViews>
  <sheets>
    <sheet name="Black And Scholes Pricing Model" sheetId="3" r:id="rId1"/>
  </sheets>
  <functionGroups builtInGroupCount="19"/>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5" i="3" l="1"/>
  <c r="E19" i="3"/>
  <c r="E13" i="3"/>
  <c r="E22" i="3"/>
  <c r="E26" i="3"/>
  <c r="E17" i="3"/>
  <c r="E29" i="3"/>
  <c r="E14" i="3"/>
  <c r="E23" i="3"/>
  <c r="E25" i="3"/>
  <c r="E30" i="3"/>
  <c r="E16" i="3"/>
  <c r="E20" i="3"/>
</calcChain>
</file>

<file path=xl/sharedStrings.xml><?xml version="1.0" encoding="utf-8"?>
<sst xmlns="http://schemas.openxmlformats.org/spreadsheetml/2006/main" count="75" uniqueCount="65">
  <si>
    <t>Asset price</t>
  </si>
  <si>
    <t>S</t>
  </si>
  <si>
    <t>Exercise price</t>
  </si>
  <si>
    <t>K</t>
  </si>
  <si>
    <t>Interest rate</t>
  </si>
  <si>
    <t>r</t>
  </si>
  <si>
    <t>Volatility</t>
  </si>
  <si>
    <t>sigma</t>
  </si>
  <si>
    <t>Time to maturity</t>
  </si>
  <si>
    <t>T</t>
  </si>
  <si>
    <t>b</t>
  </si>
  <si>
    <t>The carry cost</t>
  </si>
  <si>
    <t>Call</t>
  </si>
  <si>
    <t>Put</t>
  </si>
  <si>
    <t>Black And Scholes Pricing Model and Greeks Options</t>
  </si>
  <si>
    <t>Delta (for change in share price)</t>
  </si>
  <si>
    <t>rho (for change in interest rate) </t>
  </si>
  <si>
    <t>theta (for change in option life) </t>
  </si>
  <si>
    <t>Vega (for change in volatility). </t>
  </si>
  <si>
    <t>The first-order derivatives</t>
  </si>
  <si>
    <t>: The gamma of the call is the rate of change of delta with respect to the share price</t>
  </si>
  <si>
    <t>Gamma ( rate of change of delta)</t>
  </si>
  <si>
    <t>The second-order derivatives</t>
  </si>
  <si>
    <t xml:space="preserve"> or equivalently as the option life decreases, As the option life shortens, the value of the option decreases.</t>
  </si>
  <si>
    <t>If gamma is small, delta changes very little.</t>
  </si>
  <si>
    <t xml:space="preserve"> : Sensitivity of the option price to the change of the volatility .</t>
  </si>
  <si>
    <t xml:space="preserve"> : Measures how the value of the option changes as calendar times passes</t>
  </si>
  <si>
    <t xml:space="preserve"> : Sensitivity of the option price to the change of the interest rate: sensitivity to the interest rate</t>
  </si>
  <si>
    <t>: Sensitivity of the option price to the price of the underlying asset: price sensitivity.</t>
  </si>
  <si>
    <t>The rate of change in the option value as the volatility increases is always positives.</t>
  </si>
  <si>
    <t>q</t>
  </si>
  <si>
    <r>
      <t xml:space="preserve">One way to quantify the impact of changes in the inputs on the option value is to calculate </t>
    </r>
    <r>
      <rPr>
        <b/>
        <sz val="16"/>
        <color rgb="FFFF0000"/>
        <rFont val="Helvetica"/>
        <family val="2"/>
      </rPr>
      <t xml:space="preserve">the ‘greeks’ </t>
    </r>
    <r>
      <rPr>
        <b/>
        <sz val="16"/>
        <color theme="1"/>
        <rFont val="Helvetica"/>
        <family val="2"/>
      </rPr>
      <t xml:space="preserve">or </t>
    </r>
    <r>
      <rPr>
        <b/>
        <sz val="16"/>
        <color rgb="FFFF0000"/>
        <rFont val="Helvetica"/>
        <family val="2"/>
      </rPr>
      <t>hedge parameters</t>
    </r>
    <r>
      <rPr>
        <b/>
        <sz val="16"/>
        <color theme="1"/>
        <rFont val="Helvetica"/>
        <family val="2"/>
      </rPr>
      <t>. </t>
    </r>
  </si>
  <si>
    <t>Gamma</t>
  </si>
  <si>
    <t xml:space="preserve">Une Option avec une échéance lointaine ( Call ou Put ) a peu d'accélération de prise de valeur, elle évolue de manière stable avec son sous-jacent = Delta varie peu </t>
  </si>
  <si>
    <t>Plus c'est loin, plus il y a d'incertitude quant aux variations du sous-jacent. Il a des chances identiques d'augmenter de baisser ou de stagner.</t>
  </si>
  <si>
    <t>À Mesure que le temps passe, on a une idée plus précise d'où sera le sous-jacent à l'échéance. Il y a de moins en moins d'éventualité.</t>
  </si>
  <si>
    <t xml:space="preserve">Le jours de l'échance l'option sera soit dans la monnaie et vaudra S-K  pour un Call et K-S pour un Put </t>
  </si>
  <si>
    <t>Soit en dehors de la monnaie et elle vaut 0.</t>
  </si>
  <si>
    <t>Autour de la monnaie, lorsque le sous-jacent est au niveau du prix d'exercice, le changement est brusque. Au dessus l'option vaut quelque chose, en dessous elle ne vaut rien. La prise de vitesse de la valeur de l'option est grande, cela se traduit par un grand gamma.</t>
  </si>
  <si>
    <t>Rho</t>
  </si>
  <si>
    <t xml:space="preserve">Correspond à la sensibilité du prix de l'option suite à une variation du Sous-jacent. Indique le pourcentage de variation que subit le prix de l'option </t>
  </si>
  <si>
    <t>Delta</t>
  </si>
  <si>
    <t>Theta</t>
  </si>
  <si>
    <t>Théta mesure la sensibilité du prix de l'option à l'approche de la pèriode d'échéance.</t>
  </si>
  <si>
    <t xml:space="preserve">Véga </t>
  </si>
  <si>
    <t>Correspond à la sensibilité du prix de l'option à une petite variation du taux d'intérêt r sans risques.</t>
  </si>
  <si>
    <t>On peut aussi parler de la mesure de l’érosion de la valeur temps.</t>
  </si>
  <si>
    <t xml:space="preserve">Pour un call  In the money ( K &lt; S )  plus on se rapproche de l'échéance , plus la valeur de l'option va augmenter, donc Theta sera proche de 0.  (Theta est toujours négatif, car il décrit la perte de valeur à mesure que le temps passe) </t>
  </si>
  <si>
    <t>À l'inverse, si le Call  est Out of the money, plus on se rapproche de l'échéance,  plus la valeur de l'option va diminuer, donc Theta sera plus faible. ( loins de 0 )</t>
  </si>
  <si>
    <t>C'est le montant par actifs sous jacent que la valeur de l'option va subir ou gagner lorsque la volatilité varies de 1 pourcent.</t>
  </si>
  <si>
    <t>C'est la sensibilité du prix de l'option suite à une modification de la volatilité implicite.</t>
  </si>
  <si>
    <t>Ici pour une variation de la volatilité, le prix de l'option varie de  0.23$.</t>
  </si>
  <si>
    <t>Plus on est at the money, plus le véga aura une forte valeur.</t>
  </si>
  <si>
    <t>à l'inverse lorsqu'on s'éloigne le vega aura une faible valeur.</t>
  </si>
  <si>
    <t>Pour une variation de 1% du taux d'intêret, la valeur du call va varier de 0.31</t>
  </si>
  <si>
    <t>The call has a delta of 0.72 . It means that when the underlying asset's price changes, the Call price will change by about 72% of the share price change.</t>
  </si>
  <si>
    <t xml:space="preserve">Interprétation  </t>
  </si>
  <si>
    <t>DELTA</t>
  </si>
  <si>
    <t>RHO</t>
  </si>
  <si>
    <t>GAMMA</t>
  </si>
  <si>
    <t>VEGA</t>
  </si>
  <si>
    <t>THETA</t>
  </si>
  <si>
    <t>CALL</t>
  </si>
  <si>
    <t>PUT</t>
  </si>
  <si>
    <t>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</si>
</sst>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0"/>
    <numFmt numFmtId="165" formatCode="0.000"/>
  </numFmts>
  <fonts count="37">
    <font>
      <sz val="11"/>
      <color theme="1"/>
      <name val="Calibri"/>
      <family val="2"/>
      <scheme val="minor"/>
    </font>
    <font>
      <sz val="12"/>
      <color theme="1"/>
      <name val="Calibri"/>
      <family val="2"/>
      <scheme val="minor"/>
    </font>
    <font>
      <b/>
      <sz val="14"/>
      <color theme="1"/>
      <name val="Calibri"/>
      <family val="2"/>
      <scheme val="minor"/>
    </font>
    <font>
      <sz val="14"/>
      <color theme="1"/>
      <name val="Calibri"/>
      <family val="2"/>
      <scheme val="minor"/>
    </font>
    <font>
      <sz val="11"/>
      <color theme="0"/>
      <name val="Calibri"/>
      <family val="2"/>
      <scheme val="minor"/>
    </font>
    <font>
      <b/>
      <i/>
      <sz val="18"/>
      <color theme="1"/>
      <name val="Calibri"/>
      <family val="2"/>
      <scheme val="minor"/>
    </font>
    <font>
      <i/>
      <sz val="11"/>
      <color theme="1"/>
      <name val="Calibri"/>
      <family val="2"/>
      <scheme val="minor"/>
    </font>
    <font>
      <b/>
      <sz val="14"/>
      <color theme="1"/>
      <name val="Arial"/>
      <family val="2"/>
    </font>
    <font>
      <b/>
      <sz val="12"/>
      <color theme="1"/>
      <name val="Calibri"/>
      <family val="2"/>
      <scheme val="minor"/>
    </font>
    <font>
      <sz val="19"/>
      <color theme="1"/>
      <name val="Helvetica"/>
      <family val="2"/>
    </font>
    <font>
      <sz val="16"/>
      <color theme="1"/>
      <name val="Helvetica"/>
      <family val="2"/>
    </font>
    <font>
      <sz val="14"/>
      <color theme="1"/>
      <name val="Calibri (Corps)"/>
    </font>
    <font>
      <sz val="14"/>
      <color theme="1"/>
      <name val="Helvetica"/>
      <family val="2"/>
    </font>
    <font>
      <b/>
      <sz val="16"/>
      <color theme="1"/>
      <name val="Calibri"/>
      <family val="2"/>
      <scheme val="minor"/>
    </font>
    <font>
      <b/>
      <sz val="11"/>
      <color theme="1"/>
      <name val="Calibri"/>
      <family val="2"/>
      <scheme val="minor"/>
    </font>
    <font>
      <sz val="11"/>
      <color rgb="FFFF0000"/>
      <name val="Calibri"/>
      <family val="2"/>
      <scheme val="minor"/>
    </font>
    <font>
      <b/>
      <i/>
      <sz val="14"/>
      <color theme="1"/>
      <name val="Calibri"/>
      <family val="2"/>
      <scheme val="minor"/>
    </font>
    <font>
      <sz val="12"/>
      <color theme="1"/>
      <name val="Calibri (Corps)"/>
    </font>
    <font>
      <u/>
      <sz val="14"/>
      <color theme="1"/>
      <name val="Calibri"/>
      <family val="2"/>
      <scheme val="minor"/>
    </font>
    <font>
      <u/>
      <sz val="11"/>
      <color theme="1"/>
      <name val="Calibri"/>
      <family val="2"/>
      <scheme val="minor"/>
    </font>
    <font>
      <b/>
      <u/>
      <sz val="14"/>
      <color theme="1"/>
      <name val="Calibri"/>
      <family val="2"/>
      <scheme val="minor"/>
    </font>
    <font>
      <b/>
      <sz val="12"/>
      <color theme="0"/>
      <name val="Al Bayan Plain"/>
    </font>
    <font>
      <b/>
      <sz val="16"/>
      <color theme="1"/>
      <name val="Helvetica"/>
      <family val="2"/>
    </font>
    <font>
      <b/>
      <sz val="16"/>
      <color rgb="FFFF0000"/>
      <name val="Helvetica"/>
      <family val="2"/>
    </font>
    <font>
      <b/>
      <sz val="11"/>
      <color theme="0"/>
      <name val="Calibri"/>
      <family val="2"/>
      <scheme val="minor"/>
    </font>
    <font>
      <sz val="11"/>
      <color theme="1"/>
      <name val="Calibri"/>
      <family val="2"/>
      <scheme val="minor"/>
    </font>
    <font>
      <u/>
      <sz val="11"/>
      <color theme="10"/>
      <name val="Calibri"/>
      <family val="2"/>
      <scheme val="minor"/>
    </font>
    <font>
      <sz val="11"/>
      <color theme="1"/>
      <name val="Calibri (Corps)"/>
    </font>
    <font>
      <sz val="10.5"/>
      <color theme="1"/>
      <name val="Al Bayan Plain"/>
    </font>
    <font>
      <sz val="10.5"/>
      <color rgb="FF000000"/>
      <name val="Al Bayan Plain"/>
    </font>
    <font>
      <b/>
      <sz val="16"/>
      <color theme="0"/>
      <name val="Calibri (Corps)"/>
    </font>
    <font>
      <b/>
      <sz val="16"/>
      <color theme="5"/>
      <name val="Calibri"/>
      <family val="2"/>
      <scheme val="minor"/>
    </font>
    <font>
      <b/>
      <sz val="12"/>
      <color theme="1" tint="0.34998626667073579"/>
      <name val="Al Bayan Plain"/>
    </font>
    <font>
      <sz val="11"/>
      <color rgb="FF000000"/>
      <name val="Calibri"/>
      <family val="2"/>
      <scheme val="minor"/>
    </font>
    <font>
      <b/>
      <sz val="14"/>
      <color rgb="FFFF0000"/>
      <name val="Calibri"/>
      <family val="2"/>
      <scheme val="minor"/>
    </font>
    <font>
      <b/>
      <u/>
      <sz val="14"/>
      <color rgb="FF000000"/>
      <name val="Calibri"/>
      <family val="2"/>
      <scheme val="minor"/>
    </font>
    <font>
      <b/>
      <sz val="14"/>
      <color rgb="FF000000"/>
      <name val="Calibri"/>
      <family val="2"/>
      <scheme val="minor"/>
    </font>
  </fonts>
  <fills count="17">
    <fill>
      <patternFill patternType="none"/>
    </fill>
    <fill>
      <patternFill patternType="gray125"/>
    </fill>
    <fill>
      <patternFill patternType="solid">
        <fgColor theme="1"/>
        <bgColor indexed="64"/>
      </patternFill>
    </fill>
    <fill>
      <patternFill patternType="solid">
        <fgColor theme="5" tint="0.79998168889431442"/>
        <bgColor indexed="64"/>
      </patternFill>
    </fill>
    <fill>
      <patternFill patternType="solid">
        <fgColor theme="2" tint="-0.24997711111789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rgb="FFFFFF00"/>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7"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6" fillId="0" borderId="0" applyNumberFormat="0" applyFill="0" applyBorder="0" applyAlignment="0" applyProtection="0"/>
  </cellStyleXfs>
  <cellXfs count="70">
    <xf numFmtId="0" fontId="0" fillId="0" borderId="0" xfId="0"/>
    <xf numFmtId="0" fontId="2" fillId="0" borderId="0" xfId="0" applyFont="1"/>
    <xf numFmtId="0" fontId="3" fillId="0" borderId="0" xfId="0" applyFont="1"/>
    <xf numFmtId="0" fontId="4" fillId="2" borderId="0" xfId="0" applyFont="1" applyFill="1"/>
    <xf numFmtId="0" fontId="2" fillId="3" borderId="0" xfId="0" applyFont="1" applyFill="1"/>
    <xf numFmtId="0" fontId="9" fillId="0" borderId="0" xfId="0" applyFont="1"/>
    <xf numFmtId="0" fontId="10" fillId="0" borderId="0" xfId="0" applyFont="1"/>
    <xf numFmtId="0" fontId="11" fillId="0" borderId="0" xfId="0" applyFont="1"/>
    <xf numFmtId="0" fontId="11" fillId="7" borderId="0" xfId="0" applyFont="1" applyFill="1"/>
    <xf numFmtId="0" fontId="3" fillId="7" borderId="0" xfId="0" applyFont="1" applyFill="1"/>
    <xf numFmtId="0" fontId="12" fillId="5" borderId="0" xfId="0" applyFont="1" applyFill="1"/>
    <xf numFmtId="0" fontId="3" fillId="5" borderId="0" xfId="0" applyFont="1" applyFill="1"/>
    <xf numFmtId="0" fontId="12" fillId="4" borderId="0" xfId="0" applyFont="1" applyFill="1"/>
    <xf numFmtId="0" fontId="3" fillId="4" borderId="0" xfId="0" applyFont="1" applyFill="1"/>
    <xf numFmtId="0" fontId="12" fillId="6" borderId="0" xfId="0" applyFont="1" applyFill="1"/>
    <xf numFmtId="0" fontId="3" fillId="6" borderId="0" xfId="0" applyFont="1" applyFill="1"/>
    <xf numFmtId="0" fontId="0" fillId="0" borderId="0" xfId="0" applyBorder="1"/>
    <xf numFmtId="0" fontId="15" fillId="0" borderId="0" xfId="0" applyFont="1"/>
    <xf numFmtId="0" fontId="16" fillId="0" borderId="0" xfId="0" applyFont="1"/>
    <xf numFmtId="0" fontId="0" fillId="8" borderId="0" xfId="0" applyFill="1"/>
    <xf numFmtId="0" fontId="11" fillId="8" borderId="0" xfId="0" applyFont="1" applyFill="1"/>
    <xf numFmtId="0" fontId="17" fillId="0" borderId="0" xfId="0" applyFont="1"/>
    <xf numFmtId="0" fontId="1" fillId="0" borderId="0" xfId="0" applyFont="1"/>
    <xf numFmtId="0" fontId="18" fillId="0" borderId="0" xfId="0" applyFont="1"/>
    <xf numFmtId="0" fontId="19" fillId="0" borderId="0" xfId="0" applyFont="1"/>
    <xf numFmtId="0" fontId="20" fillId="0" borderId="0" xfId="0" applyFont="1"/>
    <xf numFmtId="164" fontId="21" fillId="0" borderId="0" xfId="0" applyNumberFormat="1" applyFont="1" applyAlignment="1">
      <alignment horizontal="center"/>
    </xf>
    <xf numFmtId="0" fontId="24" fillId="2" borderId="0" xfId="0" applyFont="1" applyFill="1"/>
    <xf numFmtId="0" fontId="3" fillId="0" borderId="0" xfId="0" applyFont="1" applyFill="1" applyBorder="1"/>
    <xf numFmtId="0" fontId="27" fillId="0" borderId="0" xfId="1" applyFont="1"/>
    <xf numFmtId="0" fontId="25" fillId="0" borderId="0" xfId="1" applyFont="1"/>
    <xf numFmtId="0" fontId="28" fillId="0" borderId="0" xfId="0" applyFont="1"/>
    <xf numFmtId="0" fontId="29" fillId="0" borderId="0" xfId="0" applyFont="1"/>
    <xf numFmtId="0" fontId="28" fillId="0" borderId="0" xfId="0" applyFont="1" applyFill="1" applyBorder="1"/>
    <xf numFmtId="0" fontId="22" fillId="9" borderId="0" xfId="0" applyFont="1" applyFill="1"/>
    <xf numFmtId="0" fontId="14" fillId="9" borderId="0" xfId="0" applyFont="1" applyFill="1"/>
    <xf numFmtId="0" fontId="0" fillId="9" borderId="0" xfId="0" applyFill="1"/>
    <xf numFmtId="0" fontId="28" fillId="0" borderId="0" xfId="0" quotePrefix="1" applyFont="1"/>
    <xf numFmtId="0" fontId="0" fillId="2" borderId="0" xfId="0" applyFill="1"/>
    <xf numFmtId="0" fontId="30" fillId="2" borderId="0" xfId="0" applyFont="1" applyFill="1"/>
    <xf numFmtId="0" fontId="0" fillId="10" borderId="0" xfId="0" applyFill="1"/>
    <xf numFmtId="0" fontId="5" fillId="10" borderId="0" xfId="0" applyFont="1" applyFill="1"/>
    <xf numFmtId="0" fontId="6" fillId="10" borderId="0" xfId="0" applyFont="1" applyFill="1"/>
    <xf numFmtId="0" fontId="2" fillId="10" borderId="0" xfId="0" applyFont="1" applyFill="1"/>
    <xf numFmtId="0" fontId="7" fillId="10" borderId="0" xfId="0" applyFont="1" applyFill="1" applyAlignment="1">
      <alignment horizontal="center"/>
    </xf>
    <xf numFmtId="10" fontId="8" fillId="10" borderId="0" xfId="0" applyNumberFormat="1" applyFont="1" applyFill="1"/>
    <xf numFmtId="10" fontId="7" fillId="10" borderId="0" xfId="0" applyNumberFormat="1" applyFont="1" applyFill="1" applyAlignment="1">
      <alignment horizontal="center"/>
    </xf>
    <xf numFmtId="0" fontId="2" fillId="10" borderId="0" xfId="0" applyFont="1" applyFill="1" applyAlignment="1"/>
    <xf numFmtId="0" fontId="2" fillId="10" borderId="0" xfId="0" applyFont="1" applyFill="1" applyBorder="1"/>
    <xf numFmtId="0" fontId="0" fillId="10" borderId="0" xfId="0" applyFill="1" applyBorder="1"/>
    <xf numFmtId="0" fontId="31" fillId="11" borderId="0" xfId="0" applyFont="1" applyFill="1"/>
    <xf numFmtId="0" fontId="13" fillId="12" borderId="0" xfId="0" applyFont="1" applyFill="1"/>
    <xf numFmtId="0" fontId="14" fillId="12" borderId="0" xfId="0" applyFont="1" applyFill="1"/>
    <xf numFmtId="165" fontId="32" fillId="12" borderId="1" xfId="0" applyNumberFormat="1" applyFont="1" applyFill="1" applyBorder="1" applyAlignment="1">
      <alignment horizontal="center"/>
    </xf>
    <xf numFmtId="0" fontId="33" fillId="0" borderId="0" xfId="0" applyFont="1"/>
    <xf numFmtId="0" fontId="20" fillId="8" borderId="0" xfId="0" applyFont="1" applyFill="1"/>
    <xf numFmtId="0" fontId="2" fillId="8" borderId="0" xfId="0" applyFont="1" applyFill="1"/>
    <xf numFmtId="0" fontId="20" fillId="13" borderId="0" xfId="0" applyFont="1" applyFill="1"/>
    <xf numFmtId="0" fontId="2" fillId="13" borderId="0" xfId="0" applyFont="1" applyFill="1"/>
    <xf numFmtId="0" fontId="34" fillId="0" borderId="0" xfId="0" applyFont="1"/>
    <xf numFmtId="0" fontId="35" fillId="14" borderId="0" xfId="0" applyFont="1" applyFill="1"/>
    <xf numFmtId="0" fontId="36" fillId="0" borderId="0" xfId="0" applyFont="1"/>
    <xf numFmtId="0" fontId="2" fillId="14" borderId="0" xfId="0" applyFont="1" applyFill="1"/>
    <xf numFmtId="0" fontId="35" fillId="3" borderId="0" xfId="0" applyFont="1" applyFill="1"/>
    <xf numFmtId="0" fontId="35" fillId="15" borderId="0" xfId="0" applyFont="1" applyFill="1"/>
    <xf numFmtId="0" fontId="2" fillId="15" borderId="0" xfId="0" applyFont="1" applyFill="1"/>
    <xf numFmtId="0" fontId="35" fillId="16" borderId="0" xfId="0" applyFont="1" applyFill="1"/>
    <xf numFmtId="0" fontId="2" fillId="16" borderId="0" xfId="0" applyFont="1" applyFill="1"/>
    <xf numFmtId="0" fontId="2" fillId="10" borderId="0" xfId="0" applyFont="1" applyFill="1" applyAlignment="1"/>
    <xf numFmtId="0" fontId="2" fillId="10" borderId="0" xfId="0" applyFont="1" applyFill="1" applyAlignment="1">
      <alignment horizontal="left"/>
    </xf>
  </cellXfs>
  <cellStyles count="2">
    <cellStyle name="Lien hypertexte"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11" Type="http://schemas.openxmlformats.org/officeDocument/2006/relationships/image" Target="../media/image5.png"/><Relationship Id="rId10" Type="http://schemas.openxmlformats.org/officeDocument/2006/relationships/customXml" Target="../ink/ink3.xml"/><Relationship Id="rId9"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573720</xdr:colOff>
      <xdr:row>1</xdr:row>
      <xdr:rowOff>129000</xdr:rowOff>
    </xdr:from>
    <xdr:to>
      <xdr:col>2</xdr:col>
      <xdr:colOff>574080</xdr:colOff>
      <xdr:row>1</xdr:row>
      <xdr:rowOff>129360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2" name="Encre 21">
              <a:extLst>
                <a:ext uri="{FF2B5EF4-FFF2-40B4-BE49-F238E27FC236}">
                  <a16:creationId xmlns:a16="http://schemas.microsoft.com/office/drawing/2014/main" id="{108C2091-42BF-4F4E-B522-C9849913E69F}"/>
                </a:ext>
              </a:extLst>
            </xdr14:cNvPr>
            <xdr14:cNvContentPartPr/>
          </xdr14:nvContentPartPr>
          <xdr14:nvPr macro=""/>
          <xdr14:xfrm>
            <a:off x="1914840" y="433800"/>
            <a:ext cx="360" cy="360"/>
          </xdr14:xfrm>
        </xdr:contentPart>
      </mc:Choice>
      <mc:Fallback xmlns="">
        <xdr:pic>
          <xdr:nvPicPr>
            <xdr:cNvPr id="22" name="Encre 21">
              <a:extLst>
                <a:ext uri="{FF2B5EF4-FFF2-40B4-BE49-F238E27FC236}">
                  <a16:creationId xmlns:a16="http://schemas.microsoft.com/office/drawing/2014/main" id="{108C2091-42BF-4F4E-B522-C9849913E69F}"/>
                </a:ext>
              </a:extLst>
            </xdr:cNvPr>
            <xdr:cNvPicPr/>
          </xdr:nvPicPr>
          <xdr:blipFill>
            <a:blip xmlns:r="http://schemas.openxmlformats.org/officeDocument/2006/relationships" r:embed="rId2"/>
            <a:stretch>
              <a:fillRect/>
            </a:stretch>
          </xdr:blipFill>
          <xdr:spPr>
            <a:xfrm>
              <a:off x="1906200" y="425160"/>
              <a:ext cx="18000" cy="18000"/>
            </a:xfrm>
            <a:prstGeom prst="rect">
              <a:avLst/>
            </a:prstGeom>
          </xdr:spPr>
        </xdr:pic>
      </mc:Fallback>
    </mc:AlternateContent>
    <xdr:clientData/>
  </xdr:twoCellAnchor>
  <xdr:oneCellAnchor>
    <xdr:from>
      <xdr:col>28</xdr:col>
      <xdr:colOff>203200</xdr:colOff>
      <xdr:row>6</xdr:row>
      <xdr:rowOff>93000</xdr:rowOff>
    </xdr:from>
    <xdr:ext cx="3046280" cy="2284261"/>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8" name="Encre 7">
              <a:extLst>
                <a:ext uri="{FF2B5EF4-FFF2-40B4-BE49-F238E27FC236}">
                  <a16:creationId xmlns:a16="http://schemas.microsoft.com/office/drawing/2014/main" id="{8EEF2112-C53C-1648-AC12-B68ED36478F7}"/>
                </a:ext>
              </a:extLst>
            </xdr14:cNvPr>
            <xdr14:cNvContentPartPr/>
          </xdr14:nvContentPartPr>
          <xdr14:nvPr macro=""/>
          <xdr14:xfrm>
            <a:off x="14234160" y="3781080"/>
            <a:ext cx="3036120" cy="2322360"/>
          </xdr14:xfrm>
        </xdr:contentPart>
      </mc:Choice>
      <mc:Fallback xmlns="">
        <xdr:pic>
          <xdr:nvPicPr>
            <xdr:cNvPr id="33" name="Encre 32">
              <a:extLst>
                <a:ext uri="{FF2B5EF4-FFF2-40B4-BE49-F238E27FC236}">
                  <a16:creationId xmlns:a16="http://schemas.microsoft.com/office/drawing/2014/main" id="{E0E6F886-CF91-AC41-B8A2-0DBC2504D03D}"/>
                </a:ext>
              </a:extLst>
            </xdr:cNvPr>
            <xdr:cNvPicPr/>
          </xdr:nvPicPr>
          <xdr:blipFill>
            <a:blip xmlns:r="http://schemas.openxmlformats.org/officeDocument/2006/relationships" r:embed="rId9"/>
            <a:stretch>
              <a:fillRect/>
            </a:stretch>
          </xdr:blipFill>
          <xdr:spPr>
            <a:xfrm>
              <a:off x="14225520" y="3772080"/>
              <a:ext cx="3053759" cy="2340000"/>
            </a:xfrm>
            <a:prstGeom prst="rect">
              <a:avLst/>
            </a:prstGeom>
          </xdr:spPr>
        </xdr:pic>
      </mc:Fallback>
    </mc:AlternateContent>
    <xdr:clientData/>
  </xdr:oneCellAnchor>
  <xdr:oneCellAnchor>
    <xdr:from>
      <xdr:col>28</xdr:col>
      <xdr:colOff>340960</xdr:colOff>
      <xdr:row>19</xdr:row>
      <xdr:rowOff>167000</xdr:rowOff>
    </xdr:from>
    <xdr:ext cx="2897360" cy="38880"/>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9" name="Encre 8">
              <a:extLst>
                <a:ext uri="{FF2B5EF4-FFF2-40B4-BE49-F238E27FC236}">
                  <a16:creationId xmlns:a16="http://schemas.microsoft.com/office/drawing/2014/main" id="{91369314-7585-B44D-A371-A3127AE7BAFE}"/>
                </a:ext>
              </a:extLst>
            </xdr14:cNvPr>
            <xdr14:cNvContentPartPr/>
          </xdr14:nvContentPartPr>
          <xdr14:nvPr macro=""/>
          <xdr14:xfrm>
            <a:off x="14371920" y="6984360"/>
            <a:ext cx="2887200" cy="38880"/>
          </xdr14:xfrm>
        </xdr:contentPart>
      </mc:Choice>
      <mc:Fallback xmlns="">
        <xdr:pic>
          <xdr:nvPicPr>
            <xdr:cNvPr id="35" name="Encre 34">
              <a:extLst>
                <a:ext uri="{FF2B5EF4-FFF2-40B4-BE49-F238E27FC236}">
                  <a16:creationId xmlns:a16="http://schemas.microsoft.com/office/drawing/2014/main" id="{439D2336-4A2F-9E40-8098-7CDB0C329697}"/>
                </a:ext>
              </a:extLst>
            </xdr:cNvPr>
            <xdr:cNvPicPr/>
          </xdr:nvPicPr>
          <xdr:blipFill>
            <a:blip xmlns:r="http://schemas.openxmlformats.org/officeDocument/2006/relationships" r:embed="rId11"/>
            <a:stretch>
              <a:fillRect/>
            </a:stretch>
          </xdr:blipFill>
          <xdr:spPr>
            <a:xfrm>
              <a:off x="14363280" y="6975720"/>
              <a:ext cx="2904840" cy="56520"/>
            </a:xfrm>
            <a:prstGeom prst="rect">
              <a:avLst/>
            </a:prstGeom>
          </xdr:spPr>
        </xdr:pic>
      </mc:Fallback>
    </mc:AlternateContent>
    <xdr:clientData/>
  </xdr:one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9-22T08:03:14.895"/>
    </inkml:context>
    <inkml:brush xml:id="br0">
      <inkml:brushProperty name="width" value="0.05" units="cm"/>
      <inkml:brushProperty name="height" value="0.05" units="cm"/>
    </inkml:brush>
  </inkml:definitions>
  <inkml:trace contextRef="#ctx0" brushRef="#br0">1 1 24575,'0'0'0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9-28T14:47:41.149"/>
    </inkml:context>
    <inkml:brush xml:id="br0">
      <inkml:brushProperty name="width" value="0.05" units="cm"/>
      <inkml:brushProperty name="height" value="0.05" units="cm"/>
    </inkml:brush>
  </inkml:definitions>
  <inkml:trace contextRef="#ctx0" brushRef="#br0">2802 214 24575,'27'0'0,"2"0"0,12 0 0,5 0-2381,-1-6 0,1-2 2381,0 5 0,4 1 0,-1-4-829,-4-6 0,2-2 0,1 2 829,11 6 0,4 3 0,-5-2 0,1-8 0,0-1 0,0 10 0,3 2 0,-2-1 0,2-9 0,0 1 0,-9 6 0,3 2 0,0-2 0,-2-2 0,1-2 0,-2 2-197,-6 4 1,0 1 0,-1-1 196,4-2 0,2-2 0,-2 2 0,16 0 0,-2 1 0,-18 1 0,0 0 0,-2 2 0,18 0 0,-3 2 0,5-1 0,-1 0-773,-2 0 0,-1 0 773,0 0 0,1 0 0,2 0 0,0 0 0,-6 0 0,0 0 0,2 0 0,1 0 0,-4-1 0,-1 2 395,-1 1 0,-3 2-395,-12-1 0,-2 0 1035,5 3 0,-1 2-1035,14 3 0,-21-3 0,1 2 0,27 3 0,-11 9 0,0-4 0,4 10 2202,-16-9-2202,20 15 0,-17-11 0,9 12 0,5 0 0,-5-1 0,-8-5 0,6 9 0,-7-8 0,6 10 0,-2-1 0,10 11 0,-22-16 0,16 18 0,-21-20 0,9 12 0,12 19 0,-14-16 0,9 14 0,-17-20 0,-3 1 2252,-2-8-2252,-3 6 1206,0-11-1206,-3 5 695,-2-11-695,-4 1 169,1-2-169,5 17 0,-4-10 0,8 16 0,-8-12 0,7 8 0,3 12 0,-5-15 0,7 19 0,-8-16 0,3 10 0,-2-6 0,2 1 0,-6-9 0,2-2 0,0-2 0,-6-2 0,4-7 0,-5 7 0,7-3 0,-3 0 0,4 6 0,-5-13 0,-1-1 0,-2 1 0,1-4 0,-2 3 0,3-8 0,-3 4 0,0-8 0,-3 3 0,2-3 0,-1-1 0,4 5 0,-2-1 0,3 10 0,9 7 0,-3 1 0,6 5 0,0 7 0,-2-10 0,4 16 0,-5-18 0,2 16 0,-6-20 0,-3 4 0,-5-18 0,-3-4 0,0 0 0,-1 1 0,1-1 0,2 4 0,5 1 0,0 8 0,9 10 0,-3-2 0,6 12 0,-9-15 0,4 7 0,-9-14 0,3 0 0,-7-7 0,2-3 0,-4-1 0,-1-1 0,-3-2 0,-16-1 0,11-3 0,-11 0 0</inkml:trace>
  <inkml:trace contextRef="#ctx0" brushRef="#br0" timeOffset="1">4622 2261 24575,'11'0'0,"13"0"0,8 0 0,6 0 0,-4 0 0,2 0-2042,25 0 1,1 0 2041,-9 0 0,2 0 0,-11 0 0,4 0 0,-4 0 0,7 0 0,2 0 0,-8 0 0,1 0 0,0 0 0,6 0 0,-1 0 0,-6 0 0,1 0 0,0 0 0,14 0 0,0 0 0,1 0 0,-3 0 0,-4 0 0,-3 0 0,1 0 0,0 0-30,-10 0 1,0 0 29,2-3 0,-2 0 417,23 7-417,-28-2 0,-1 2 0,22 20 0,-25-11 0,1 0 0,26 29 0,1-10 0,-29-9 0,0 3 0,27 17 0,-11-6 0,9 10 0,-18-12 0,15 13 0,-7-6 0,-4 2 0,-4-10 0,-2 3 1970,-2-7-1970,-4 1 1124,3-1-1124,-4 2 631,4-1-631,-6 4 0,6-3 0,-1 4 0,-2-6 0,0 1 0,-8-7 0,4 1 0,-9-7 0,5-1 0,-8-4 0,-2-2 0,-5-7 0,-4-1 0,1-3 0,0 0 0,0 0 0,0 0 0,5 0 0,2 0 0,14 0 0,11-5 0,9-6 0,11-2 0,-11-4 0,8 0 0,-11 4 0,2-3 0,-6 6 0,-11 0 0,-3 1 0,-10 4 0,-4-3 0,-4 8 0,-2-4 0,-2 1 0,-1 0 0,-2-4 0,0 0 0,0-4 0,-3 0 0,3 2 0,-3 2 0</inkml:trace>
  <inkml:trace contextRef="#ctx0" brushRef="#br0" timeOffset="2">1 4450 24575,'37'0'0,"29"0"0,-15 0 0,9 0-2458,-10 0 0,7 0 1,2 0-1,-1 0 2437,-2 0 1,-1 0-1,1 0 1,0 0 20,5 0 0,2 0 0,-1 0 0,2 0 0,0 0 0,2 0 0,-1 0 0,0 0-592,-8 0 1,0 0 0,0 0 0,3 0 591,-3 0 0,2 0 0,2 0 0,0 0 0,-1 0 0,-2 0 0,0 0 0,-1 0 0,1 0 0,-1 0 0,0 0 0,1 0 0,-2 0 0,2 0 0,-2 0 0,11 0 0,-2 0 0,1 0 0,-1 0 0,-1 0 0,-2 0 0,1 0 0,-2 0-96,-3 0 0,-1 0 0,-1 0 0,1 0 96,-4 0 0,2 0 0,-2 0 0,0 0 0,1 0 0,0 1 0,0-1 0,-1-1 0,-1-3 0,0-1 0,-1 0 0,1 2 0,2 1 0,0 2 0,0 0 0,-1-3 0,13-4 0,-2-3 0,2 3-425,-15 5 1,0 2 0,1 1 0,-4-2 424,2-1 0,-2-1 0,2 0 292,11 3 1,1 1 0,-1-2-293,-15-1 0,-3-1 0,4 0 0,12 0 0,3 0 0,-1-1 0,-8-1 0,0-1 0,-1 0 0,3 1 0,0-1 0,-2 0 587,-6-2 0,-1 0 0,-2 1-587,22-1 0,-3-2 824,-5-4 0,-3 0-824,-3 6 0,-1-1 0,-3-4 0,0 0 995,-3 2 1,0 0-996,0-2 0,-2-1 0,-4 3 0,-1 1 2472,21-12-2472,6 8 0,-17-7 0,8 2 0,-9 3 0,-8-5 2082,-9 10-2082,-7-3 1863,-1 1-1863,-13 7 1359,4-5-1359,-5 3 305,6-5-305,4-5 0,8-1 0,10-2 0,-4 4 0,1-2 0,10-6 0,-6 3 0,-1 1 0,6-2 0,10-6 0,-6 7 0,-3-5 0,-6 5 0,6 0 0,-7 3 0,3 2 0,-7 1 0,2-3 0,-8 8 0,4-4 0,-3 6 0,-5 0 0,-1 4 0,-7-3 0,3 7 0,-8-6 0,4 6 0,-5-5 0,0 5 0,-1-2 0,-1 3 0,-4-3 0,0-5 0,-2-4 0,-2-3 0,1 6 0,-1 1 0</inkml:trace>
  <inkml:trace contextRef="#ctx0" brushRef="#br0" timeOffset="3">51 6374 24575,'41'0'0,"4"0"0,7 0 0,12 0 0,5 0-2397,-21 0 0,2 0 0,3 0 0,-1 0 2397,6 0 0,1 0 0,1 0 0,3 0-606,-3 0 0,3 0 0,0 0 0,3 0 0,-2 0 606,-7 0 0,0 0 0,-1 0 0,3 0 0,-1 0 0,3 0-169,-4 0 0,3 0 0,0 0 0,1 0 0,-1 0 0,1 0 0,0 0 169,-1 0 0,2 0 0,-2 0 0,1 0 0,0 0 0,1 0 0,0 0-316,3 0 0,-1 0 0,2 0 0,-1 0 0,2 0 0,-2 0 0,1 0 316,0 0 0,1 0 0,0 0 0,0 0 0,-2 0 0,-1 0 0,-3 0-75,9 0 1,-4 0 0,-1 0 0,-1 0 0,4 0 74,-6 0 0,4 0 0,0 0 0,-1 0 0,-1 0 0,-5 0 0,9 0 0,-5 0 0,0 0 0,3 0 0,-10 0 0,2 0 0,2 0 0,-1 0 0,1 0 0,-3 0 0,5 0 0,0 0 0,-2 0 0,0 0 0,-1 0 0,-1 0 0,-1 0 0,-1 0 0,-2 0 0,-3 0 316,14 0 1,-5 0 0,1 0-317,4 0 0,1 0 0,-6 0 0,-1 0 0,-4 0 530,-5-2 1,4 0-1,-5-1-530,7 0 0,-4-2 1429,1-5 0,-3-1-1429,6-1 0,-7-4 0,-1-2 0,2-8 0,-8 9 0,0 0 0,12-18 0,-2 5 0,6-12 0,-27 23 0,1 0 0,26-23 0,5 4 0,-6-3 0,-4-2 0,-23 18 0,-1 0 0,24-18 0,-24 19 0,2-1 0,-2 0 0,0 1 0,1-2 0,1 0 0,17-17 0,-13 10 0,0 4 0,1 1 2206,-5-2 0,0-1-2206,8-4 0,3-5 0,5-6 0,-14 13 0,9-11 2973,-10 12-2973,5-11 2311,4-2-2311,-10 6 0,9-11 0,-1 5 0,-13 15 0,1-1 0,4-6 0,0 1 0,18-16 0,-2-6 0,-11 30 0,2-9 868,2-1-868,-5 6 421,-2-5-421,-2 5 0,-3-3 0,0-2 0,6-22 0,-3 7 0,0-14 0,-6 17 0,-4-2 0,-1 9 0,1-3 0,1 3 0,-5 7 0,1 7 0,-8 7 0,3-1 0,-7 5 0,2 1 0,0 1 0,-2 3 0,2-5 0,-3 1 0,0 5 0,0-4 0,3-1 0,1 3 0,-1-2 0,-1 7 0,-2 1 0,0-3 0,0 1 0,3-2 0,-3 3 0,3 0 0,-3 4 0,-3-2 0,0 5 0,-2-2 0</inkml:trace>
  <inkml:trace contextRef="#ctx0" brushRef="#br0" timeOffset="4">7352 3557 24575,'10'0'0,"7"0"0,-1 0 0,5 0 0,0 0 0,-5 0 0,8 0 0,-9 0 0,4 0 0,-8 0 0,-1 0 0,-4 0 0,1 0 0,-2 0 0,0 0 0,0 0 0,0 0 0,-1 0 0,1 0 0,0 0 0,6 0 0,-3-3 0,9-2 0,1-4 0,2 0 0,5 3 0,-7-5 0,7 4 0,-7-6 0,4 4 0,-4 5 0,-3-3 0,2 2 0,-9-3 0,6 3 0,-9-2 0,3 7 0,-4-7 0,4 3 0,-3-1 0,5-2 0,-4 3 0,4-1 0,-2-1 0,4 1 0,2-3 0,-3 0 0,6-1 0,-6 1 0,6-1 0,-2 1 0,-1-1 0,3 0 0,-4 1 0,-2 3 0,-4-1 0,-2 5 0,0-3 0,0 2 0,-1 1 0,1-2 0,0 3 0,0 0 0,-1-3 0,4 2 0,0-6 0,3 6 0,-1-2 0,1-1 0,3 3 0,-2-6 0,2 6 0,-6-3 0,2 4 0,-4-3 0,1 2 0,-2-2 0,0 3 0,0 0 0,0 0 0,0 0 0,-1 0 0,1 0 0,0 0 0,3 0 0,-3 0 0,3 0 0,-1 0 0,-1 0 0,1 0 0,-2 0 0,1 0 0,1 0 0,-1 0 0,4-4 0,-2 3 0,3-2 0,2 3 0,-6 0 0,1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9-28T14:47:41.154"/>
    </inkml:context>
    <inkml:brush xml:id="br0">
      <inkml:brushProperty name="width" value="0.05" units="cm"/>
      <inkml:brushProperty name="height" value="0.05" units="cm"/>
    </inkml:brush>
  </inkml:definitions>
  <inkml:trace contextRef="#ctx0" brushRef="#br0">1 1 24575,'73'0'0,"-1"0"0,10 0 0,8 0 0,-18 0 0,8 0 0,3 0 0,2 0-2458,7 0 0,3 0 1,0 0-1,5 0 2160,-8 0 0,5 0 0,0 0 0,-1 0 0,-3 0 298,3 0 0,-4 0 0,0 0 0,6 0-431,-2 0 0,4 0 0,3 0 0,-2 0 0,-6 0 431,-5 0 0,-3 0 0,-2 0 0,4 0 7,-7 0 0,4 0 1,0 0-1,-2 0 1,-4 0-8,24 0 0,-6 0 0,1 0-344,-21 0 1,0 0-1,-1 0 1,-5 0 343,-2 0 0,-4 0 0,6 0 0,13 0 0,10 0 0,-1 0 0,-4 0 0,-2 0 0,-5 0 0,3 0 0,-10 0 0,3 0 0,0 0 0,-3 0 0,3 0 0,-2 0 0,-6 0 989,5 0 1,0 0-990,-10 0 0,6 0 0,-6 0 0,9 0 0,-6 0 0,-3 0 0,-1 0 1632,15 0 0,-4 0-1632,0 0 1577,-23 0 0,-2 0-1577,18 0 3410,-16 0-3410,-19 0 1890,-7 0-1890,-10 0 929,-5 0-929,-1 0 187,-4 0-187,0 0 0,0 0 0,14 0 0,-2 0 0,32 0 0,-15 0 0,29 0 0,-17 4 0,17 2 0,-10 0 0,11 4 0,-18-9 0,3 9 0,-17-9 0,-6 3 0,-3-4 0,2 0 0,6 4 0,2-3 0,14 3 0,-12 1 0,21-4 0,-12 8 0,0-4 0,-1 1 0,-11 2 0,-7-7 0,-7 3 0,-6-1 0,-3-2 0,-4 2 0,0-3 0,0 0 0,0 0 0,0 0 0,4 0 0,2 0 0,7 0 0,2 0 0,6 0 0,3 4 0,-3-3 0,4 4 0,-5-5 0,-5 0 0,-1 0 0,-5 0 0,-4 0 0,3 0 0,-6 0 0,2 0 0,1 0 0,-4 0 0,3 0 0,-3 0 0,-1 0 0,4 0 0,-3 0 0,4 0 0,-5 0 0,0 0 0,0 0 0,8 0 0,-6 0 0,10 0 0,-10 0 0,2 0 0,-4 0 0,0 0 0,1 0 0,-1 0 0,0 0 0,0 0 0,0 0 0,0 0 0,1 0 0,-1 0 0,4 0 0,2 0 0,0 0 0,-2 0 0,-4 0 0,0 0 0,1 0 0,-1 0 0,-3-3 0,-1-10 0,-3 7 0,0-6 0</inkml:trace>
</inkm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AS70"/>
  <sheetViews>
    <sheetView tabSelected="1" topLeftCell="F1" zoomScaleNormal="77" workbookViewId="0">
      <selection activeCell="O5" sqref="O5"/>
    </sheetView>
  </sheetViews>
  <sheetFormatPr baseColWidth="10" defaultColWidth="8.83203125" defaultRowHeight="15"/>
  <cols>
    <col min="4" max="4" width="12" bestFit="1" customWidth="1"/>
    <col min="5" max="5" width="13.6640625" customWidth="1"/>
    <col min="6" max="6" width="15.33203125" customWidth="1"/>
    <col min="11" max="11" width="8.1640625" customWidth="1"/>
  </cols>
  <sheetData>
    <row r="1" spans="1:36" ht="24">
      <c r="A1" s="68" t="s">
        <v>0</v>
      </c>
      <c r="B1" s="68"/>
      <c r="C1" s="43" t="s">
        <v>1</v>
      </c>
      <c r="D1" s="44">
        <v>50</v>
      </c>
      <c r="E1" s="43" t="s">
        <v>30</v>
      </c>
      <c r="F1" s="45">
        <v>0.03</v>
      </c>
      <c r="J1" s="41" t="s">
        <v>14</v>
      </c>
      <c r="K1" s="41"/>
      <c r="L1" s="41"/>
      <c r="M1" s="41"/>
      <c r="N1" s="41"/>
      <c r="O1" s="42"/>
      <c r="P1" s="42"/>
      <c r="Q1" s="42"/>
    </row>
    <row r="2" spans="1:36" ht="19">
      <c r="A2" s="68" t="s">
        <v>2</v>
      </c>
      <c r="B2" s="68"/>
      <c r="C2" s="43" t="s">
        <v>3</v>
      </c>
      <c r="D2" s="44">
        <v>60</v>
      </c>
      <c r="E2" s="40"/>
      <c r="F2" s="40"/>
    </row>
    <row r="3" spans="1:36" ht="19">
      <c r="A3" s="68" t="s">
        <v>4</v>
      </c>
      <c r="B3" s="68"/>
      <c r="C3" s="43" t="s">
        <v>5</v>
      </c>
      <c r="D3" s="46">
        <v>0.03</v>
      </c>
      <c r="E3" s="40"/>
      <c r="F3" s="40"/>
    </row>
    <row r="4" spans="1:36" ht="21">
      <c r="A4" s="68" t="s">
        <v>6</v>
      </c>
      <c r="B4" s="68"/>
      <c r="C4" s="43" t="s">
        <v>7</v>
      </c>
      <c r="D4" s="46">
        <v>0.2</v>
      </c>
      <c r="E4" s="40"/>
      <c r="F4" s="40"/>
      <c r="P4" s="34" t="s">
        <v>31</v>
      </c>
      <c r="Q4" s="35"/>
      <c r="R4" s="35"/>
      <c r="S4" s="35"/>
      <c r="T4" s="35"/>
      <c r="U4" s="35"/>
      <c r="V4" s="35"/>
      <c r="W4" s="35"/>
      <c r="X4" s="35"/>
      <c r="Y4" s="35"/>
      <c r="Z4" s="35"/>
      <c r="AA4" s="35"/>
      <c r="AB4" s="35"/>
      <c r="AC4" s="35"/>
      <c r="AD4" s="35"/>
      <c r="AE4" s="35"/>
      <c r="AF4" s="35"/>
      <c r="AG4" s="36"/>
    </row>
    <row r="5" spans="1:36" ht="19">
      <c r="A5" s="69" t="s">
        <v>11</v>
      </c>
      <c r="B5" s="69"/>
      <c r="C5" s="47" t="s">
        <v>10</v>
      </c>
      <c r="D5" s="46">
        <f>D3-F1</f>
        <v>0</v>
      </c>
      <c r="E5" s="40"/>
      <c r="F5" s="40"/>
    </row>
    <row r="6" spans="1:36" ht="19">
      <c r="A6" s="68" t="s">
        <v>8</v>
      </c>
      <c r="B6" s="68"/>
      <c r="C6" s="48" t="s">
        <v>9</v>
      </c>
      <c r="D6" s="44">
        <v>0.5</v>
      </c>
      <c r="E6" s="49"/>
      <c r="F6" s="40"/>
    </row>
    <row r="7" spans="1:36" ht="21">
      <c r="B7" s="16"/>
      <c r="D7" s="50" t="s">
        <v>12</v>
      </c>
      <c r="P7" s="8" t="s">
        <v>15</v>
      </c>
      <c r="Q7" s="9"/>
      <c r="R7" s="9"/>
      <c r="S7" s="9"/>
      <c r="T7" s="2" t="s">
        <v>28</v>
      </c>
    </row>
    <row r="8" spans="1:36" ht="21">
      <c r="A8" s="1"/>
      <c r="B8" s="1"/>
      <c r="D8" s="50" t="s">
        <v>13</v>
      </c>
      <c r="P8" s="18"/>
      <c r="Q8" s="2"/>
      <c r="R8" s="2"/>
      <c r="S8" s="2"/>
      <c r="T8" s="2"/>
    </row>
    <row r="9" spans="1:36" ht="19">
      <c r="A9" s="1"/>
      <c r="B9" s="1"/>
      <c r="P9" s="2"/>
      <c r="Q9" s="2"/>
      <c r="R9" s="2"/>
      <c r="S9" s="2"/>
      <c r="T9" s="2"/>
    </row>
    <row r="10" spans="1:36" ht="21">
      <c r="J10" s="6"/>
      <c r="P10" s="10" t="s">
        <v>16</v>
      </c>
      <c r="Q10" s="11"/>
      <c r="R10" s="11"/>
      <c r="S10" s="11"/>
      <c r="T10" s="2" t="s">
        <v>27</v>
      </c>
    </row>
    <row r="11" spans="1:36" ht="24">
      <c r="P11" s="2"/>
      <c r="Q11" s="2"/>
      <c r="R11" s="2"/>
      <c r="S11" s="2"/>
      <c r="T11" s="2"/>
      <c r="W11" s="5"/>
      <c r="AH11" s="51" t="s">
        <v>19</v>
      </c>
      <c r="AI11" s="52"/>
      <c r="AJ11" s="52"/>
    </row>
    <row r="12" spans="1:36" ht="22">
      <c r="A12" s="23"/>
      <c r="B12" s="23"/>
      <c r="C12" s="24"/>
      <c r="D12" s="24"/>
      <c r="E12" s="26"/>
      <c r="P12" s="2"/>
      <c r="Q12" s="2"/>
      <c r="R12" s="2"/>
      <c r="S12" s="2"/>
      <c r="T12" s="2"/>
      <c r="AG12" s="17"/>
    </row>
    <row r="13" spans="1:36" ht="22">
      <c r="A13" s="55" t="s">
        <v>64</v>
      </c>
      <c r="B13" s="2"/>
      <c r="C13" s="2"/>
      <c r="D13" s="56" t="s">
        <v>62</v>
      </c>
      <c r="E13" s="53">
        <f>BSOptionGreeks("BS",D7,D1,D2,D3,F1,D6,D4)</f>
        <v>0.35484348638958974</v>
      </c>
      <c r="H13" s="17"/>
      <c r="P13" s="12" t="s">
        <v>17</v>
      </c>
      <c r="Q13" s="13"/>
      <c r="R13" s="13"/>
      <c r="S13" s="13"/>
      <c r="T13" s="2" t="s">
        <v>26</v>
      </c>
    </row>
    <row r="14" spans="1:36" ht="22">
      <c r="A14" s="2"/>
      <c r="B14" s="2"/>
      <c r="C14" s="2"/>
      <c r="D14" s="56" t="s">
        <v>63</v>
      </c>
      <c r="E14" s="53">
        <f>BSOptionGreeks("BS",D8,D1,D2,D3,F1,D6,D4)</f>
        <v>10.205962882420216</v>
      </c>
      <c r="P14" s="2"/>
      <c r="Q14" s="2"/>
      <c r="R14" s="2"/>
      <c r="S14" s="2"/>
      <c r="T14" s="2" t="s">
        <v>23</v>
      </c>
      <c r="Y14" s="21"/>
      <c r="Z14" s="22"/>
      <c r="AA14" s="22"/>
      <c r="AB14" s="22"/>
      <c r="AC14" s="22"/>
      <c r="AD14" s="22"/>
      <c r="AE14" s="22"/>
    </row>
    <row r="15" spans="1:36" ht="19">
      <c r="A15" s="23"/>
      <c r="B15" s="23"/>
      <c r="C15" s="23"/>
      <c r="D15" s="23"/>
      <c r="P15" s="2"/>
      <c r="Q15" s="2"/>
      <c r="R15" s="2"/>
      <c r="S15" s="2"/>
      <c r="T15" s="30"/>
    </row>
    <row r="16" spans="1:36" ht="22">
      <c r="A16" s="57" t="s">
        <v>57</v>
      </c>
      <c r="B16" s="1"/>
      <c r="C16" s="1"/>
      <c r="D16" s="58" t="s">
        <v>62</v>
      </c>
      <c r="E16" s="53">
        <f>BSOptionGreeks("Delta",D7,D1,D2,D3,F1,D6,D4)</f>
        <v>0.10985722420178545</v>
      </c>
      <c r="L16" s="2"/>
      <c r="P16" s="14" t="s">
        <v>18</v>
      </c>
      <c r="Q16" s="15"/>
      <c r="R16" s="15"/>
      <c r="S16" s="15"/>
      <c r="T16" s="2" t="s">
        <v>25</v>
      </c>
    </row>
    <row r="17" spans="1:45" ht="22">
      <c r="A17" s="57"/>
      <c r="B17" s="59"/>
      <c r="C17" s="1"/>
      <c r="D17" s="58" t="s">
        <v>63</v>
      </c>
      <c r="E17" s="53">
        <f>BSOptionGreeks("Delta",D8,D1,D2,D3,F1,D6,D4)</f>
        <v>-0.87525471540127731</v>
      </c>
      <c r="H17" s="18"/>
      <c r="I17" s="2"/>
      <c r="J17" s="2"/>
      <c r="K17" s="2"/>
      <c r="L17" s="2"/>
      <c r="T17" s="2" t="s">
        <v>29</v>
      </c>
    </row>
    <row r="18" spans="1:45" ht="19">
      <c r="A18" s="25"/>
      <c r="B18" s="25"/>
      <c r="C18" s="25"/>
      <c r="D18" s="25"/>
      <c r="H18" s="2"/>
      <c r="I18" s="2"/>
      <c r="J18" s="2"/>
      <c r="K18" s="2"/>
      <c r="L18" s="2"/>
      <c r="T18" s="29"/>
    </row>
    <row r="19" spans="1:45" ht="22">
      <c r="A19" s="60" t="s">
        <v>58</v>
      </c>
      <c r="B19" s="61"/>
      <c r="C19" s="61"/>
      <c r="D19" s="62" t="s">
        <v>62</v>
      </c>
      <c r="E19" s="53">
        <f>BSOptionGreeks("Rho",D7,D1,D2,D3,F1,D6,D4)</f>
        <v>2.5690088618498415</v>
      </c>
      <c r="L19" s="2"/>
      <c r="T19" s="28"/>
    </row>
    <row r="20" spans="1:45" ht="27">
      <c r="A20" s="60"/>
      <c r="B20" s="59"/>
      <c r="C20" s="61"/>
      <c r="D20" s="62" t="s">
        <v>63</v>
      </c>
      <c r="E20" s="53">
        <f>BSOptionGreeks("Rho",D8,D1,D2,D3,F1,D6,D4)</f>
        <v>-26.98434932624204</v>
      </c>
      <c r="H20" s="2"/>
      <c r="I20" s="2"/>
      <c r="J20" s="2"/>
      <c r="K20" s="2"/>
      <c r="L20" s="2"/>
      <c r="O20" s="5"/>
      <c r="P20" s="20" t="s">
        <v>21</v>
      </c>
      <c r="Q20" s="19"/>
      <c r="R20" s="19"/>
      <c r="S20" s="19"/>
      <c r="T20" s="7" t="s">
        <v>20</v>
      </c>
      <c r="AF20" s="17"/>
      <c r="AH20" s="51" t="s">
        <v>22</v>
      </c>
      <c r="AI20" s="52"/>
      <c r="AJ20" s="52"/>
    </row>
    <row r="21" spans="1:45" ht="19">
      <c r="A21" s="25"/>
      <c r="B21" s="25"/>
      <c r="C21" s="25"/>
      <c r="D21" s="25"/>
      <c r="H21" s="2"/>
      <c r="I21" s="2"/>
      <c r="J21" s="2"/>
      <c r="K21" s="2"/>
      <c r="L21" s="2"/>
      <c r="T21" s="7" t="s">
        <v>24</v>
      </c>
    </row>
    <row r="22" spans="1:45" ht="22">
      <c r="A22" s="63" t="s">
        <v>61</v>
      </c>
      <c r="B22" s="61"/>
      <c r="C22" s="61"/>
      <c r="D22" s="4" t="s">
        <v>62</v>
      </c>
      <c r="E22" s="53">
        <f>BSOptionGreeks("Theta",D7,D1,D2,D3,F1,D6,D4)</f>
        <v>-1.3320848850354119</v>
      </c>
      <c r="L22" s="2"/>
    </row>
    <row r="23" spans="1:45" ht="22">
      <c r="A23" s="63"/>
      <c r="B23" s="59"/>
      <c r="C23" s="61"/>
      <c r="D23" s="4" t="s">
        <v>63</v>
      </c>
      <c r="E23" s="53">
        <f>BSOptionGreeks("Theta",D8,D1,D2,D3,F1,D6,D4)</f>
        <v>-1.0365513031544931</v>
      </c>
      <c r="H23" s="2"/>
      <c r="I23" s="2"/>
      <c r="J23" s="2"/>
      <c r="K23" s="2"/>
      <c r="L23" s="2"/>
      <c r="Q23" s="21"/>
      <c r="R23" s="22"/>
      <c r="S23" s="22"/>
      <c r="T23" s="22"/>
      <c r="U23" s="22"/>
      <c r="V23" s="22"/>
      <c r="W23" s="22"/>
    </row>
    <row r="24" spans="1:45" ht="19">
      <c r="A24" s="25"/>
      <c r="B24" s="25"/>
      <c r="C24" s="25"/>
      <c r="D24" s="25"/>
      <c r="H24" s="2"/>
      <c r="I24" s="2"/>
      <c r="J24" s="2"/>
      <c r="K24" s="2"/>
      <c r="L24" s="30"/>
    </row>
    <row r="25" spans="1:45" ht="22">
      <c r="A25" s="64" t="s">
        <v>60</v>
      </c>
      <c r="B25" s="61"/>
      <c r="C25" s="61"/>
      <c r="D25" s="65" t="s">
        <v>62</v>
      </c>
      <c r="E25" s="53">
        <f>BSOptionGreeks("Vega",D7,D1,D2,D3,F1,D6,D4)</f>
        <v>6.6136977073357022</v>
      </c>
      <c r="L25" s="2"/>
    </row>
    <row r="26" spans="1:45" ht="24">
      <c r="A26" s="64"/>
      <c r="B26" s="59"/>
      <c r="C26" s="61"/>
      <c r="D26" s="65" t="s">
        <v>63</v>
      </c>
      <c r="E26" s="53">
        <f>BSOptionGreeks("Vega",D8,D1,D2,D3,F1,D6,D4)</f>
        <v>6.6136977073357022</v>
      </c>
      <c r="L26" s="2"/>
      <c r="Q26" s="38"/>
      <c r="R26" s="38"/>
      <c r="S26" s="38"/>
      <c r="T26" s="38"/>
      <c r="U26" s="39" t="s">
        <v>56</v>
      </c>
      <c r="V26" s="27"/>
      <c r="W26" s="38"/>
      <c r="X26" s="38"/>
      <c r="Y26" s="38"/>
      <c r="Z26" s="38"/>
    </row>
    <row r="27" spans="1:45" ht="19">
      <c r="A27" s="25"/>
      <c r="B27" s="25"/>
      <c r="C27" s="25"/>
      <c r="D27" s="25"/>
      <c r="L27" s="29"/>
    </row>
    <row r="28" spans="1:45" ht="19">
      <c r="A28" s="25"/>
      <c r="B28" s="25"/>
      <c r="C28" s="25"/>
      <c r="D28" s="25"/>
      <c r="L28" s="28"/>
    </row>
    <row r="29" spans="1:45" ht="22">
      <c r="A29" s="66" t="s">
        <v>59</v>
      </c>
      <c r="B29" s="61"/>
      <c r="C29" s="61"/>
      <c r="D29" s="67" t="s">
        <v>62</v>
      </c>
      <c r="E29" s="53">
        <f>BSOptionGreeks("Gamma",D7,D1,D2,D3,F1,D6,D4)</f>
        <v>2.6854603792541992E-2</v>
      </c>
      <c r="H29" s="54"/>
      <c r="I29" s="54"/>
      <c r="J29" s="54"/>
      <c r="K29" s="54"/>
      <c r="L29" s="7"/>
      <c r="X29" s="17"/>
      <c r="Z29" s="54"/>
      <c r="AA29" s="54"/>
      <c r="AB29" s="54"/>
      <c r="AC29" s="54"/>
    </row>
    <row r="30" spans="1:45" ht="22">
      <c r="A30" s="66"/>
      <c r="B30" s="59"/>
      <c r="C30" s="61"/>
      <c r="D30" s="67" t="s">
        <v>63</v>
      </c>
      <c r="E30" s="53">
        <f>BSOptionGreeks("Gamma",D8,D1,D2,D3,F1,D6,D4)</f>
        <v>2.6854603792541992E-2</v>
      </c>
      <c r="L30" s="7"/>
    </row>
    <row r="31" spans="1:45" ht="19">
      <c r="A31" s="1"/>
      <c r="B31" s="1"/>
    </row>
    <row r="32" spans="1:45" ht="21">
      <c r="A32" s="1"/>
      <c r="B32" s="1"/>
      <c r="X32" s="3" t="s">
        <v>32</v>
      </c>
      <c r="Y32" s="31" t="s">
        <v>33</v>
      </c>
      <c r="Z32" s="31"/>
      <c r="AA32" s="31"/>
      <c r="AB32" s="31"/>
      <c r="AC32" s="31"/>
      <c r="AD32" s="31"/>
      <c r="AE32" s="31"/>
      <c r="AF32" s="31"/>
      <c r="AG32" s="31"/>
      <c r="AH32" s="31"/>
      <c r="AI32" s="31"/>
      <c r="AJ32" s="31"/>
      <c r="AK32" s="31"/>
      <c r="AL32" s="31"/>
      <c r="AM32" s="31"/>
      <c r="AN32" s="31"/>
      <c r="AO32" s="31"/>
      <c r="AP32" s="31"/>
      <c r="AQ32" s="31"/>
      <c r="AR32" s="31"/>
      <c r="AS32" s="31"/>
    </row>
    <row r="33" spans="1:45" ht="21">
      <c r="A33" s="2"/>
      <c r="B33" s="2"/>
      <c r="Y33" s="31" t="s">
        <v>34</v>
      </c>
      <c r="Z33" s="31"/>
      <c r="AA33" s="31"/>
      <c r="AB33" s="31"/>
      <c r="AC33" s="31"/>
      <c r="AD33" s="31"/>
      <c r="AE33" s="31"/>
      <c r="AF33" s="31"/>
      <c r="AG33" s="31"/>
      <c r="AH33" s="31"/>
      <c r="AI33" s="31"/>
      <c r="AJ33" s="31"/>
      <c r="AK33" s="31"/>
      <c r="AL33" s="31"/>
      <c r="AM33" s="31"/>
      <c r="AN33" s="31"/>
      <c r="AO33" s="31"/>
      <c r="AP33" s="31"/>
      <c r="AQ33" s="31"/>
      <c r="AR33" s="31"/>
      <c r="AS33" s="31"/>
    </row>
    <row r="34" spans="1:45" ht="21">
      <c r="A34" s="1"/>
      <c r="B34" s="2"/>
      <c r="U34" s="1"/>
      <c r="V34" s="2"/>
      <c r="Y34" s="31" t="s">
        <v>35</v>
      </c>
      <c r="Z34" s="31"/>
      <c r="AA34" s="31"/>
      <c r="AB34" s="31"/>
      <c r="AC34" s="31"/>
      <c r="AD34" s="31"/>
      <c r="AE34" s="31"/>
      <c r="AF34" s="31"/>
      <c r="AG34" s="31"/>
      <c r="AH34" s="31"/>
      <c r="AI34" s="31"/>
      <c r="AJ34" s="31"/>
      <c r="AK34" s="31"/>
      <c r="AL34" s="31"/>
      <c r="AM34" s="31"/>
      <c r="AN34" s="31"/>
      <c r="AO34" s="31"/>
      <c r="AP34" s="31"/>
      <c r="AQ34" s="31"/>
      <c r="AR34" s="31"/>
      <c r="AS34" s="31"/>
    </row>
    <row r="35" spans="1:45" ht="21">
      <c r="A35" s="1"/>
      <c r="B35" s="2"/>
      <c r="Y35" s="31" t="s">
        <v>36</v>
      </c>
      <c r="Z35" s="31"/>
      <c r="AA35" s="31"/>
      <c r="AB35" s="31"/>
      <c r="AC35" s="31"/>
      <c r="AD35" s="31"/>
      <c r="AE35" s="31"/>
      <c r="AF35" s="31"/>
      <c r="AG35" s="31"/>
      <c r="AH35" s="31"/>
      <c r="AI35" s="31"/>
      <c r="AJ35" s="31"/>
      <c r="AK35" s="31"/>
      <c r="AL35" s="31"/>
      <c r="AM35" s="31"/>
      <c r="AN35" s="31"/>
      <c r="AO35" s="31"/>
      <c r="AP35" s="31"/>
      <c r="AQ35" s="31"/>
      <c r="AR35" s="31"/>
      <c r="AS35" s="31"/>
    </row>
    <row r="36" spans="1:45" ht="18">
      <c r="Y36" s="31" t="s">
        <v>37</v>
      </c>
      <c r="Z36" s="31"/>
      <c r="AA36" s="31"/>
      <c r="AB36" s="31"/>
      <c r="AC36" s="31"/>
      <c r="AD36" s="31"/>
      <c r="AE36" s="31"/>
      <c r="AF36" s="31"/>
      <c r="AG36" s="31"/>
      <c r="AH36" s="31"/>
      <c r="AI36" s="31"/>
      <c r="AJ36" s="31"/>
      <c r="AK36" s="31"/>
      <c r="AL36" s="31"/>
      <c r="AM36" s="31"/>
      <c r="AN36" s="31"/>
      <c r="AO36" s="31"/>
      <c r="AP36" s="31"/>
      <c r="AQ36" s="31"/>
      <c r="AR36" s="31"/>
      <c r="AS36" s="31"/>
    </row>
    <row r="37" spans="1:45" ht="18">
      <c r="Y37" s="31" t="s">
        <v>38</v>
      </c>
      <c r="Z37" s="31"/>
      <c r="AA37" s="31"/>
      <c r="AB37" s="31"/>
      <c r="AC37" s="31"/>
      <c r="AD37" s="31"/>
      <c r="AE37" s="31"/>
      <c r="AF37" s="31"/>
      <c r="AG37" s="31"/>
      <c r="AH37" s="31"/>
      <c r="AI37" s="31"/>
      <c r="AJ37" s="31"/>
      <c r="AK37" s="31"/>
      <c r="AL37" s="31"/>
      <c r="AM37" s="31"/>
      <c r="AN37" s="31"/>
      <c r="AO37" s="31"/>
      <c r="AP37" s="31"/>
      <c r="AQ37" s="31"/>
      <c r="AR37" s="31"/>
      <c r="AS37" s="31"/>
    </row>
    <row r="39" spans="1:45" ht="18">
      <c r="A39" s="31"/>
      <c r="B39" s="31"/>
      <c r="C39" s="31"/>
      <c r="D39" s="31"/>
      <c r="E39" s="31"/>
      <c r="F39" s="31"/>
      <c r="G39" s="31"/>
      <c r="H39" s="31"/>
      <c r="I39" s="31"/>
      <c r="J39" s="31"/>
      <c r="K39" s="31"/>
      <c r="L39" s="31"/>
      <c r="M39" s="31"/>
      <c r="N39" s="31"/>
      <c r="O39" s="31"/>
      <c r="P39" s="31"/>
      <c r="Q39" s="31"/>
      <c r="R39" s="31"/>
      <c r="S39" s="31"/>
      <c r="T39" s="31"/>
      <c r="U39" s="31"/>
      <c r="V39" s="31"/>
    </row>
    <row r="40" spans="1:45" ht="18">
      <c r="A40" s="31"/>
      <c r="B40" s="31"/>
      <c r="C40" s="31"/>
      <c r="D40" s="31"/>
      <c r="E40" s="31"/>
      <c r="F40" s="31"/>
      <c r="G40" s="31"/>
      <c r="H40" s="31"/>
      <c r="I40" s="31"/>
      <c r="J40" s="31"/>
      <c r="K40" s="31"/>
      <c r="L40" s="31"/>
      <c r="M40" s="31"/>
      <c r="N40" s="31"/>
      <c r="O40" s="31"/>
      <c r="P40" s="31"/>
      <c r="Q40" s="31"/>
      <c r="R40" s="31"/>
      <c r="S40" s="31"/>
      <c r="T40" s="31"/>
      <c r="U40" s="31"/>
      <c r="V40" s="31"/>
    </row>
    <row r="41" spans="1:45" ht="18">
      <c r="A41" s="31"/>
      <c r="B41" s="31"/>
      <c r="C41" s="31"/>
      <c r="D41" s="31"/>
      <c r="E41" s="31"/>
      <c r="F41" s="31"/>
      <c r="G41" s="31"/>
      <c r="H41" s="31"/>
      <c r="I41" s="31"/>
      <c r="J41" s="31"/>
      <c r="K41" s="31"/>
      <c r="L41" s="31"/>
      <c r="M41" s="31"/>
      <c r="N41" s="31"/>
      <c r="O41" s="31"/>
      <c r="P41" s="31"/>
      <c r="Q41" s="31"/>
      <c r="R41" s="31"/>
      <c r="S41" s="31"/>
      <c r="T41" s="31"/>
      <c r="U41" s="31"/>
      <c r="V41" s="31"/>
      <c r="X41" s="3" t="s">
        <v>41</v>
      </c>
      <c r="Y41" s="31" t="s">
        <v>40</v>
      </c>
      <c r="Z41" s="31"/>
      <c r="AA41" s="31"/>
      <c r="AB41" s="31"/>
      <c r="AC41" s="31"/>
      <c r="AD41" s="31"/>
      <c r="AE41" s="31"/>
      <c r="AF41" s="31"/>
      <c r="AG41" s="31"/>
      <c r="AH41" s="31"/>
      <c r="AI41" s="31"/>
      <c r="AJ41" s="31"/>
      <c r="AK41" s="31"/>
      <c r="AL41" s="31"/>
      <c r="AM41" s="31"/>
      <c r="AN41" s="31"/>
    </row>
    <row r="42" spans="1:45" ht="18">
      <c r="A42" s="31"/>
      <c r="B42" s="31"/>
      <c r="C42" s="31"/>
      <c r="D42" s="31"/>
      <c r="E42" s="31"/>
      <c r="F42" s="31"/>
      <c r="G42" s="31"/>
      <c r="H42" s="31"/>
      <c r="I42" s="31"/>
      <c r="J42" s="31"/>
      <c r="K42" s="31"/>
      <c r="L42" s="31"/>
      <c r="M42" s="31"/>
      <c r="N42" s="31"/>
      <c r="O42" s="31"/>
      <c r="P42" s="31"/>
      <c r="Q42" s="31"/>
      <c r="R42" s="31"/>
      <c r="S42" s="31"/>
      <c r="T42" s="31"/>
      <c r="U42" s="31"/>
      <c r="V42" s="31"/>
      <c r="Y42" s="31" t="s">
        <v>55</v>
      </c>
      <c r="Z42" s="31"/>
      <c r="AA42" s="31"/>
      <c r="AB42" s="31"/>
      <c r="AC42" s="31"/>
      <c r="AD42" s="31"/>
      <c r="AE42" s="31"/>
      <c r="AF42" s="31"/>
      <c r="AG42" s="31"/>
      <c r="AH42" s="31"/>
      <c r="AI42" s="31"/>
      <c r="AJ42" s="31"/>
      <c r="AK42" s="31"/>
      <c r="AL42" s="31"/>
      <c r="AM42" s="31"/>
      <c r="AN42" s="31"/>
    </row>
    <row r="43" spans="1:45" ht="18">
      <c r="A43" s="31"/>
      <c r="B43" s="31"/>
      <c r="C43" s="31"/>
      <c r="D43" s="31"/>
      <c r="E43" s="31"/>
      <c r="F43" s="31"/>
      <c r="G43" s="31"/>
      <c r="H43" s="31"/>
      <c r="I43" s="31"/>
      <c r="J43" s="31"/>
      <c r="K43" s="31"/>
      <c r="L43" s="31"/>
      <c r="M43" s="31"/>
      <c r="N43" s="31"/>
      <c r="O43" s="31"/>
      <c r="P43" s="31"/>
      <c r="Q43" s="31"/>
      <c r="R43" s="31"/>
      <c r="S43" s="31"/>
      <c r="T43" s="31"/>
      <c r="U43" s="31"/>
      <c r="V43" s="31"/>
    </row>
    <row r="44" spans="1:45" ht="18">
      <c r="A44" s="31"/>
      <c r="B44" s="31"/>
      <c r="C44" s="31"/>
      <c r="D44" s="31"/>
      <c r="E44" s="31"/>
      <c r="F44" s="31"/>
      <c r="G44" s="31"/>
      <c r="H44" s="31"/>
      <c r="I44" s="31"/>
      <c r="J44" s="31"/>
      <c r="K44" s="31"/>
      <c r="L44" s="31"/>
      <c r="M44" s="31"/>
      <c r="N44" s="31"/>
      <c r="O44" s="31"/>
      <c r="P44" s="31"/>
      <c r="Q44" s="31"/>
      <c r="R44" s="31"/>
      <c r="S44" s="31"/>
      <c r="T44" s="31"/>
      <c r="U44" s="31"/>
      <c r="V44" s="31"/>
    </row>
    <row r="45" spans="1:45">
      <c r="X45" s="3" t="s">
        <v>39</v>
      </c>
      <c r="Y45" t="s">
        <v>45</v>
      </c>
    </row>
    <row r="46" spans="1:45">
      <c r="Y46" t="s">
        <v>54</v>
      </c>
    </row>
    <row r="48" spans="1:45" ht="18">
      <c r="A48" s="31"/>
      <c r="B48" s="31"/>
      <c r="C48" s="31"/>
      <c r="D48" s="31"/>
      <c r="E48" s="31"/>
      <c r="F48" s="31"/>
      <c r="G48" s="31"/>
      <c r="H48" s="31"/>
      <c r="I48" s="31"/>
      <c r="J48" s="31"/>
      <c r="K48" s="31"/>
      <c r="L48" s="31"/>
      <c r="M48" s="31"/>
      <c r="N48" s="31"/>
      <c r="O48" s="31"/>
      <c r="P48" s="31"/>
      <c r="Q48" s="31"/>
    </row>
    <row r="49" spans="1:37" ht="18">
      <c r="A49" s="31"/>
      <c r="B49" s="31"/>
      <c r="C49" s="31"/>
      <c r="D49" s="31"/>
      <c r="E49" s="31"/>
      <c r="F49" s="31"/>
      <c r="G49" s="31"/>
      <c r="H49" s="31"/>
      <c r="I49" s="31"/>
      <c r="J49" s="31"/>
      <c r="K49" s="31"/>
      <c r="L49" s="31"/>
      <c r="M49" s="31"/>
      <c r="N49" s="31"/>
      <c r="O49" s="31"/>
      <c r="P49" s="31"/>
      <c r="Q49" s="31"/>
      <c r="X49" s="3" t="s">
        <v>42</v>
      </c>
      <c r="Y49" s="31" t="s">
        <v>47</v>
      </c>
      <c r="Z49" s="31"/>
      <c r="AA49" s="31"/>
      <c r="AB49" s="31"/>
      <c r="AC49" s="31"/>
      <c r="AD49" s="31"/>
      <c r="AE49" s="31"/>
      <c r="AF49" s="31"/>
      <c r="AG49" s="31"/>
      <c r="AH49" s="31"/>
      <c r="AI49" s="31"/>
      <c r="AJ49" s="31"/>
    </row>
    <row r="50" spans="1:37" ht="18">
      <c r="Y50" s="31" t="s">
        <v>48</v>
      </c>
      <c r="Z50" s="31"/>
      <c r="AA50" s="31"/>
      <c r="AB50" s="31"/>
      <c r="AC50" s="31"/>
      <c r="AD50" s="31"/>
      <c r="AE50" s="31"/>
      <c r="AF50" s="31"/>
      <c r="AG50" s="31"/>
      <c r="AH50" s="31"/>
      <c r="AI50" s="31"/>
      <c r="AJ50" s="31"/>
    </row>
    <row r="51" spans="1:37" ht="18">
      <c r="Y51" s="31" t="s">
        <v>43</v>
      </c>
      <c r="Z51" s="31"/>
      <c r="AA51" s="31"/>
      <c r="AB51" s="31"/>
      <c r="AC51" s="31"/>
      <c r="AD51" s="31"/>
      <c r="AE51" s="31"/>
      <c r="AF51" s="31"/>
      <c r="AG51" s="31"/>
      <c r="AH51" s="31"/>
      <c r="AI51" s="31"/>
      <c r="AJ51" s="31"/>
    </row>
    <row r="52" spans="1:37" ht="18">
      <c r="Y52" s="32" t="s">
        <v>46</v>
      </c>
      <c r="Z52" s="31"/>
      <c r="AA52" s="31"/>
      <c r="AB52" s="31"/>
      <c r="AC52" s="31"/>
      <c r="AD52" s="31"/>
      <c r="AE52" s="31"/>
      <c r="AF52" s="31"/>
      <c r="AG52" s="31"/>
      <c r="AH52" s="31"/>
      <c r="AI52" s="31"/>
      <c r="AJ52" s="31"/>
    </row>
    <row r="53" spans="1:37" ht="18">
      <c r="Y53" s="31"/>
      <c r="Z53" s="31"/>
      <c r="AA53" s="31"/>
      <c r="AB53" s="31"/>
      <c r="AC53" s="31"/>
      <c r="AD53" s="31"/>
      <c r="AE53" s="31"/>
      <c r="AF53" s="31"/>
      <c r="AG53" s="31"/>
      <c r="AH53" s="31"/>
      <c r="AI53" s="31"/>
      <c r="AJ53" s="31"/>
    </row>
    <row r="54" spans="1:37" ht="18">
      <c r="Y54" s="32"/>
      <c r="Z54" s="31"/>
      <c r="AA54" s="31"/>
      <c r="AB54" s="31"/>
      <c r="AC54" s="31"/>
      <c r="AD54" s="31"/>
      <c r="AE54" s="31"/>
      <c r="AF54" s="31"/>
      <c r="AG54" s="31"/>
      <c r="AH54" s="31"/>
      <c r="AI54" s="31"/>
      <c r="AJ54" s="31"/>
    </row>
    <row r="55" spans="1:37">
      <c r="Y55" s="29"/>
    </row>
    <row r="56" spans="1:37" ht="21">
      <c r="A56" s="31"/>
      <c r="B56" s="31"/>
      <c r="C56" s="31"/>
      <c r="D56" s="31"/>
      <c r="E56" s="31"/>
      <c r="F56" s="31"/>
      <c r="G56" s="31"/>
      <c r="H56" s="31"/>
      <c r="I56" s="31"/>
      <c r="J56" s="31"/>
      <c r="K56" s="31"/>
      <c r="L56" s="31"/>
      <c r="M56" s="31"/>
      <c r="Y56" s="28"/>
    </row>
    <row r="57" spans="1:37" ht="18">
      <c r="A57" s="31"/>
      <c r="B57" s="31"/>
      <c r="C57" s="31"/>
      <c r="D57" s="31"/>
      <c r="E57" s="31"/>
      <c r="F57" s="31"/>
      <c r="G57" s="31"/>
      <c r="H57" s="31"/>
      <c r="I57" s="31"/>
      <c r="J57" s="31"/>
      <c r="K57" s="31"/>
      <c r="L57" s="31"/>
      <c r="M57" s="31"/>
      <c r="X57" s="3" t="s">
        <v>44</v>
      </c>
      <c r="Y57" s="37" t="s">
        <v>50</v>
      </c>
      <c r="Z57" s="31"/>
      <c r="AA57" s="31"/>
      <c r="AB57" s="31"/>
      <c r="AC57" s="31"/>
      <c r="AD57" s="31"/>
      <c r="AE57" s="31"/>
      <c r="AF57" s="31"/>
      <c r="AG57" s="31"/>
      <c r="AH57" s="31"/>
      <c r="AI57" s="31"/>
      <c r="AJ57" s="31"/>
      <c r="AK57" s="31"/>
    </row>
    <row r="58" spans="1:37" ht="18">
      <c r="A58" s="31"/>
      <c r="B58" s="31"/>
      <c r="C58" s="31"/>
      <c r="D58" s="31"/>
      <c r="E58" s="31"/>
      <c r="F58" s="31"/>
      <c r="G58" s="31"/>
      <c r="H58" s="31"/>
      <c r="I58" s="31"/>
      <c r="J58" s="31"/>
      <c r="K58" s="31"/>
      <c r="L58" s="31"/>
      <c r="M58" s="31"/>
      <c r="Y58" s="33" t="s">
        <v>49</v>
      </c>
      <c r="AI58" s="31"/>
      <c r="AJ58" s="31"/>
      <c r="AK58" s="31"/>
    </row>
    <row r="59" spans="1:37" ht="18">
      <c r="A59" s="31"/>
      <c r="B59" s="32"/>
      <c r="C59" s="31"/>
      <c r="D59" s="31"/>
      <c r="E59" s="31"/>
      <c r="F59" s="31"/>
      <c r="G59" s="31"/>
      <c r="H59" s="31"/>
      <c r="I59" s="31"/>
      <c r="J59" s="31"/>
      <c r="K59" s="31"/>
      <c r="L59" s="31"/>
      <c r="M59" s="31"/>
      <c r="Y59" s="33" t="s">
        <v>51</v>
      </c>
      <c r="AI59" s="31"/>
      <c r="AJ59" s="31"/>
      <c r="AK59" s="31"/>
    </row>
    <row r="60" spans="1:37" ht="18">
      <c r="A60" s="31"/>
      <c r="B60" s="31"/>
      <c r="C60" s="31"/>
      <c r="D60" s="31"/>
      <c r="E60" s="31"/>
      <c r="F60" s="31"/>
      <c r="G60" s="31"/>
      <c r="H60" s="31"/>
      <c r="I60" s="31"/>
      <c r="J60" s="31"/>
      <c r="K60" s="31"/>
      <c r="L60" s="31"/>
      <c r="M60" s="31"/>
      <c r="Y60" t="s">
        <v>52</v>
      </c>
    </row>
    <row r="61" spans="1:37" ht="18">
      <c r="A61" s="31"/>
      <c r="B61" s="32"/>
      <c r="C61" s="31"/>
      <c r="D61" s="31"/>
      <c r="E61" s="31"/>
      <c r="F61" s="31"/>
      <c r="G61" s="31"/>
      <c r="H61" s="31"/>
      <c r="I61" s="31"/>
      <c r="J61" s="31"/>
      <c r="K61" s="31"/>
      <c r="L61" s="31"/>
      <c r="M61" s="31"/>
      <c r="Y61" t="s">
        <v>53</v>
      </c>
    </row>
    <row r="62" spans="1:37" ht="18">
      <c r="B62" s="29"/>
      <c r="Y62" s="33"/>
    </row>
    <row r="63" spans="1:37" ht="19">
      <c r="B63" s="28"/>
    </row>
    <row r="64" spans="1:37" ht="18">
      <c r="A64" s="31"/>
      <c r="B64" s="37"/>
      <c r="C64" s="31"/>
      <c r="D64" s="31"/>
      <c r="E64" s="31"/>
      <c r="F64" s="31"/>
      <c r="G64" s="31"/>
      <c r="H64" s="31"/>
      <c r="I64" s="31"/>
      <c r="J64" s="31"/>
      <c r="K64" s="31"/>
      <c r="L64" s="31"/>
      <c r="M64" s="31"/>
      <c r="N64" s="31"/>
    </row>
    <row r="65" spans="2:14" ht="18">
      <c r="B65" s="33"/>
      <c r="L65" s="31"/>
      <c r="M65" s="31"/>
      <c r="N65" s="31"/>
    </row>
    <row r="66" spans="2:14" ht="18">
      <c r="B66" s="33"/>
      <c r="L66" s="31"/>
      <c r="M66" s="31"/>
      <c r="N66" s="31"/>
    </row>
    <row r="69" spans="2:14" ht="18">
      <c r="B69" s="33"/>
    </row>
    <row r="70" spans="2:14" ht="18">
      <c r="B70" s="33"/>
    </row>
  </sheetData>
  <mergeCells count="6">
    <mergeCell ref="A6:B6"/>
    <mergeCell ref="A1:B1"/>
    <mergeCell ref="A2:B2"/>
    <mergeCell ref="A3:B3"/>
    <mergeCell ref="A4:B4"/>
    <mergeCell ref="A5:B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1</vt:i4>
      </vt:variant>
    </vt:vector>
  </HeadingPairs>
  <TitlesOfParts>
    <vt:vector size="1" baseType="lpstr">
      <vt:lpstr>Black And Scholes Pricing Model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2021-01-05T20:32:36Z</dcterms:modified>
</cp:coreProperties>
</file>